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lv38ft_student_aau_dk/Documents/Skrivebord/"/>
    </mc:Choice>
  </mc:AlternateContent>
  <xr:revisionPtr revIDLastSave="0" documentId="8_{6D757912-D936-45F6-A3E7-703C1E3B5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Ark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13" i="1"/>
  <c r="H14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H33" i="1"/>
  <c r="H34" i="1"/>
  <c r="H35" i="1"/>
  <c r="H37" i="1"/>
  <c r="H5" i="1"/>
  <c r="H6" i="1"/>
  <c r="H7" i="1"/>
  <c r="H8" i="1"/>
  <c r="H10" i="1"/>
  <c r="H11" i="1"/>
  <c r="G12" i="1"/>
  <c r="G9" i="1"/>
  <c r="H9" i="1" l="1"/>
  <c r="H12" i="1"/>
</calcChain>
</file>

<file path=xl/sharedStrings.xml><?xml version="1.0" encoding="utf-8"?>
<sst xmlns="http://schemas.openxmlformats.org/spreadsheetml/2006/main" count="137" uniqueCount="92">
  <si>
    <t>Robotic hand</t>
  </si>
  <si>
    <t>BILL OF MATERIALS</t>
  </si>
  <si>
    <t>Item</t>
  </si>
  <si>
    <t>Material No.</t>
  </si>
  <si>
    <t>Full Description</t>
  </si>
  <si>
    <t>URL</t>
  </si>
  <si>
    <t>Quantity</t>
  </si>
  <si>
    <t>Price [kr]</t>
  </si>
  <si>
    <t>Motor mount</t>
  </si>
  <si>
    <t>Motor housing top</t>
  </si>
  <si>
    <t>751-764</t>
  </si>
  <si>
    <t>https://dk.rs-online.com/web/p/traekfjedre/0751764</t>
  </si>
  <si>
    <t>Motor housing bottom</t>
  </si>
  <si>
    <t>UR10 Adapter plate</t>
  </si>
  <si>
    <t>Wiring tube</t>
  </si>
  <si>
    <t>751-714</t>
  </si>
  <si>
    <t>https://dk.rs-online.com/web/p/traekfjedre/0751714</t>
  </si>
  <si>
    <t>Wiring tube cap</t>
  </si>
  <si>
    <t>Motor housing cover</t>
  </si>
  <si>
    <t>Motor pulley</t>
  </si>
  <si>
    <t>PLA roll</t>
  </si>
  <si>
    <t>1 kg Regular black PLA for FDM printing</t>
  </si>
  <si>
    <t>Regular white PTFE tubing for 3d printing</t>
  </si>
  <si>
    <t>Dynamixel Mx-64</t>
  </si>
  <si>
    <t>Servo motors for control of hand</t>
  </si>
  <si>
    <t>4 pin PCB Dynamixel</t>
  </si>
  <si>
    <t>Connection board for Dynamixel motors</t>
  </si>
  <si>
    <t>Dynamixel 6 Post 4P (Molex) Hub | Tribotix</t>
  </si>
  <si>
    <t xml:space="preserve">12V 10A power supply </t>
  </si>
  <si>
    <t>If possible use lab power supply for safety</t>
  </si>
  <si>
    <t>Data Cable Dynamixel</t>
  </si>
  <si>
    <t>USB data cable for dynamixel motors</t>
  </si>
  <si>
    <t>Palm</t>
  </si>
  <si>
    <t>Braided fishing line rated 26 kg</t>
  </si>
  <si>
    <t>Finger mount</t>
  </si>
  <si>
    <t>Finger back plate</t>
  </si>
  <si>
    <t>Thumb metacarpal</t>
  </si>
  <si>
    <t>Palm cover plate</t>
  </si>
  <si>
    <t>Motor housing adapter</t>
  </si>
  <si>
    <t>Thumb spring bracket</t>
  </si>
  <si>
    <t>Fishing line with minimal elongation with length 1.5m</t>
  </si>
  <si>
    <t>Category</t>
  </si>
  <si>
    <t>Dimensions</t>
  </si>
  <si>
    <t>2x5x2.5</t>
  </si>
  <si>
    <t>Purchased hardware</t>
  </si>
  <si>
    <t>Ball bearings for finger assembly</t>
  </si>
  <si>
    <t>For attaching joints in the fingers</t>
  </si>
  <si>
    <t>Used for attaching DIP joint</t>
  </si>
  <si>
    <t>M2x6 hex screw</t>
  </si>
  <si>
    <t>M2x8 hexscrew</t>
  </si>
  <si>
    <t>M3x16 set screw</t>
  </si>
  <si>
    <t>Screws for expanding PTFE tubing in the fingers.</t>
  </si>
  <si>
    <t>M3x25 flat head</t>
  </si>
  <si>
    <t>Price per unit [kr]</t>
  </si>
  <si>
    <t>Thumb rotation axis</t>
  </si>
  <si>
    <t>Attachment screws for the motor house cylinder, hand attachment, and palm</t>
  </si>
  <si>
    <t>M3x35 flat head partially threaded</t>
  </si>
  <si>
    <t>M3x10 flat head</t>
  </si>
  <si>
    <t>Finger mount attachment and motor in palm</t>
  </si>
  <si>
    <t>MR52ZZ ball bearings</t>
  </si>
  <si>
    <t>Cable output holder</t>
  </si>
  <si>
    <t>M3x15 flat head</t>
  </si>
  <si>
    <t xml:space="preserve">https://www.aliexpress.com/item/32492575669.html?spm=a2g0o.order_list.order_list_main.5.3995180255jFUJ </t>
  </si>
  <si>
    <t>Raw material</t>
  </si>
  <si>
    <t>M4x15 flat head</t>
  </si>
  <si>
    <t xml:space="preserve">https://3deksperten.dk/products/biqu-star-ptfe-tube-1-75mm-4m </t>
  </si>
  <si>
    <t>PTFE Tube 1.75mm</t>
  </si>
  <si>
    <t>4mm OD</t>
  </si>
  <si>
    <t xml:space="preserve">Pulley attachment to servo horns </t>
  </si>
  <si>
    <t>27.7mm</t>
  </si>
  <si>
    <t>31mm</t>
  </si>
  <si>
    <t>Extension spring</t>
  </si>
  <si>
    <t xml:space="preserve">Extension spring </t>
  </si>
  <si>
    <t>M2.5x5 falt head</t>
  </si>
  <si>
    <t>Thumb tendon attachment</t>
  </si>
  <si>
    <t>Threaded heat inserts</t>
  </si>
  <si>
    <t>Screws</t>
  </si>
  <si>
    <t>M2x4x3.2</t>
  </si>
  <si>
    <t>Inside DIP joint touching bearings</t>
  </si>
  <si>
    <t>M3x4x5</t>
  </si>
  <si>
    <t>M4x6x6</t>
  </si>
  <si>
    <t>Robot mount adapter, hand to motor adapter</t>
  </si>
  <si>
    <t>Finger mount plate, palm attachment, robot adapter mount</t>
  </si>
  <si>
    <t>M2.5x5x3.5</t>
  </si>
  <si>
    <t>Motor mounts in motor tower</t>
  </si>
  <si>
    <t>Finger mounts, hand to cylinder mount, robot adapter mount, calble output holder, motor house cylinder</t>
  </si>
  <si>
    <t>3D print</t>
  </si>
  <si>
    <t>Proximal phalanx</t>
  </si>
  <si>
    <t>medial phalanx</t>
  </si>
  <si>
    <t>Distal phalanx</t>
  </si>
  <si>
    <t>MCP pulley</t>
  </si>
  <si>
    <t>PIP pulley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</si>
</sst>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3" xfId="1" applyBorder="1"/>
    <xf numFmtId="0" fontId="2" fillId="0" borderId="0" xfId="1"/>
    <xf numFmtId="0" fontId="2" fillId="0" borderId="2" xfId="2" applyBorder="1"/>
    <xf numFmtId="0" fontId="0" fillId="0" borderId="6" xfId="0" applyBorder="1"/>
    <xf numFmtId="0" fontId="2" fillId="0" borderId="5" xfId="2" applyBorder="1"/>
    <xf numFmtId="0" fontId="0" fillId="0" borderId="7" xfId="0" applyBorder="1"/>
    <xf numFmtId="0" fontId="1" fillId="2" borderId="8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/>
    <xf numFmtId="0" fontId="1" fillId="0" borderId="9" xfId="0" applyFont="1" applyBorder="1"/>
    <xf numFmtId="0" fontId="0" fillId="0" borderId="9" xfId="0" applyBorder="1"/>
    <xf numFmtId="0" fontId="0" fillId="0" borderId="10" xfId="0" applyBorder="1"/>
    <xf numFmtId="0" fontId="0" fillId="2" borderId="7" xfId="0" applyFill="1" applyBorder="1"/>
  </cellXfs>
  <cellStyles count="3">
    <cellStyle name="Hyperlink" xfId="1" xr:uid="{00000000-000B-0000-0000-000008000000}"/>
    <cellStyle name="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k.rs-online.com/web/p/traekfjedre/0751714" TargetMode="External"/><Relationship Id="rId2" Type="http://schemas.openxmlformats.org/officeDocument/2006/relationships/hyperlink" Target="https://dk.rs-online.com/web/p/traekfjedre/0751764" TargetMode="External"/><Relationship Id="rId1" Type="http://schemas.openxmlformats.org/officeDocument/2006/relationships/hyperlink" Target="https://tribotix.com/product/6-port-rx-ex-mx-power-hub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3deksperten.dk/products/biqu-star-ptfe-tube-1-75mm-4m" TargetMode="External"/><Relationship Id="rId4" Type="http://schemas.openxmlformats.org/officeDocument/2006/relationships/hyperlink" Target="https://www.aliexpress.com/item/32492575669.html?spm=a2g0o.order_list.order_list_main.5.3995180255jFU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17" zoomScale="70" zoomScaleNormal="70" workbookViewId="0">
      <selection activeCell="O20" sqref="O20"/>
    </sheetView>
  </sheetViews>
  <sheetFormatPr defaultRowHeight="15" x14ac:dyDescent="0.25"/>
  <cols>
    <col min="1" max="1" width="20.140625" bestFit="1" customWidth="1"/>
    <col min="2" max="2" width="31.140625" customWidth="1"/>
    <col min="3" max="3" width="12" bestFit="1" customWidth="1"/>
    <col min="4" max="4" width="92.28515625" customWidth="1"/>
    <col min="5" max="5" width="49.28515625" bestFit="1" customWidth="1"/>
    <col min="6" max="6" width="12.85546875" bestFit="1" customWidth="1"/>
    <col min="7" max="7" width="12.85546875" customWidth="1"/>
    <col min="8" max="8" width="11.85546875" customWidth="1"/>
    <col min="9" max="9" width="18.7109375" customWidth="1"/>
  </cols>
  <sheetData>
    <row r="1" spans="1:9" x14ac:dyDescent="0.25">
      <c r="B1" s="1" t="s">
        <v>0</v>
      </c>
    </row>
    <row r="2" spans="1:9" x14ac:dyDescent="0.25">
      <c r="B2" s="1" t="s">
        <v>1</v>
      </c>
    </row>
    <row r="4" spans="1:9" ht="42" customHeight="1" x14ac:dyDescent="0.25">
      <c r="A4" s="24" t="s">
        <v>41</v>
      </c>
      <c r="B4" s="18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3" t="s">
        <v>53</v>
      </c>
      <c r="H4" s="3" t="s">
        <v>7</v>
      </c>
      <c r="I4" s="3" t="s">
        <v>42</v>
      </c>
    </row>
    <row r="5" spans="1:9" x14ac:dyDescent="0.25">
      <c r="A5" s="17"/>
      <c r="B5" s="19"/>
      <c r="C5" s="4"/>
      <c r="D5" s="5"/>
      <c r="E5" s="6"/>
      <c r="F5" s="4"/>
      <c r="G5" s="4"/>
      <c r="H5" s="7">
        <f t="shared" ref="H5:H8" si="0">F5*G5</f>
        <v>0</v>
      </c>
      <c r="I5" s="4"/>
    </row>
    <row r="6" spans="1:9" x14ac:dyDescent="0.25">
      <c r="A6" s="17"/>
      <c r="B6" s="9"/>
      <c r="C6" s="7"/>
      <c r="D6" s="7"/>
      <c r="E6" s="7"/>
      <c r="F6" s="4"/>
      <c r="G6" s="4"/>
      <c r="H6" s="7">
        <f t="shared" si="0"/>
        <v>0</v>
      </c>
      <c r="I6" s="7"/>
    </row>
    <row r="7" spans="1:9" x14ac:dyDescent="0.25">
      <c r="A7" s="17"/>
      <c r="B7" s="9"/>
      <c r="C7" s="7"/>
      <c r="D7" s="7"/>
      <c r="E7" s="7"/>
      <c r="F7" s="4"/>
      <c r="G7" s="4"/>
      <c r="H7" s="7">
        <f t="shared" si="0"/>
        <v>0</v>
      </c>
      <c r="I7" s="7"/>
    </row>
    <row r="8" spans="1:9" x14ac:dyDescent="0.25">
      <c r="A8" s="17"/>
      <c r="B8" s="9"/>
      <c r="C8" s="7"/>
      <c r="D8" s="7"/>
      <c r="E8" s="7"/>
      <c r="F8" s="4"/>
      <c r="G8" s="4"/>
      <c r="H8" s="7">
        <f t="shared" si="0"/>
        <v>0</v>
      </c>
      <c r="I8" s="7"/>
    </row>
    <row r="9" spans="1:9" x14ac:dyDescent="0.25">
      <c r="A9" s="17" t="s">
        <v>44</v>
      </c>
      <c r="B9" s="9" t="s">
        <v>71</v>
      </c>
      <c r="C9" s="7" t="s">
        <v>10</v>
      </c>
      <c r="D9" s="7"/>
      <c r="E9" s="14" t="s">
        <v>11</v>
      </c>
      <c r="F9" s="4">
        <v>5</v>
      </c>
      <c r="G9" s="7">
        <f>6.472</f>
        <v>6.4720000000000004</v>
      </c>
      <c r="H9" s="7">
        <f>F9*G9</f>
        <v>32.36</v>
      </c>
      <c r="I9" s="7" t="s">
        <v>70</v>
      </c>
    </row>
    <row r="10" spans="1:9" x14ac:dyDescent="0.25">
      <c r="A10" s="17"/>
      <c r="B10" s="9"/>
      <c r="C10" s="7"/>
      <c r="D10" s="7"/>
      <c r="E10" s="7"/>
      <c r="F10" s="4"/>
      <c r="G10" s="4"/>
      <c r="H10" s="7">
        <f t="shared" ref="H10:H37" si="1">F10*G10</f>
        <v>0</v>
      </c>
      <c r="I10" s="7"/>
    </row>
    <row r="11" spans="1:9" x14ac:dyDescent="0.25">
      <c r="A11" s="17"/>
      <c r="B11" s="9"/>
      <c r="C11" s="7"/>
      <c r="D11" s="7"/>
      <c r="E11" s="7"/>
      <c r="F11" s="4"/>
      <c r="G11" s="4"/>
      <c r="H11" s="7">
        <f t="shared" si="1"/>
        <v>0</v>
      </c>
      <c r="I11" s="7"/>
    </row>
    <row r="12" spans="1:9" x14ac:dyDescent="0.25">
      <c r="A12" s="17" t="s">
        <v>44</v>
      </c>
      <c r="B12" s="9" t="s">
        <v>72</v>
      </c>
      <c r="C12" s="7" t="s">
        <v>15</v>
      </c>
      <c r="D12" s="7"/>
      <c r="E12" s="14" t="s">
        <v>16</v>
      </c>
      <c r="F12" s="4">
        <v>10</v>
      </c>
      <c r="G12" s="7">
        <f>7.812</f>
        <v>7.8120000000000003</v>
      </c>
      <c r="H12" s="7">
        <f t="shared" si="1"/>
        <v>78.12</v>
      </c>
      <c r="I12" s="7" t="s">
        <v>69</v>
      </c>
    </row>
    <row r="13" spans="1:9" x14ac:dyDescent="0.25">
      <c r="A13" s="17"/>
      <c r="B13" s="9"/>
      <c r="C13" s="7"/>
      <c r="D13" s="7"/>
      <c r="E13" s="7"/>
      <c r="F13" s="4"/>
      <c r="G13" s="4"/>
      <c r="H13" s="7">
        <f t="shared" si="1"/>
        <v>0</v>
      </c>
      <c r="I13" s="7"/>
    </row>
    <row r="14" spans="1:9" x14ac:dyDescent="0.25">
      <c r="A14" s="17"/>
      <c r="B14" s="9"/>
      <c r="C14" s="7"/>
      <c r="D14" s="7"/>
      <c r="E14" s="7"/>
      <c r="F14" s="4"/>
      <c r="G14" s="4"/>
      <c r="H14" s="7">
        <f t="shared" si="1"/>
        <v>0</v>
      </c>
      <c r="I14" s="7"/>
    </row>
    <row r="15" spans="1:9" x14ac:dyDescent="0.25">
      <c r="A15" s="17"/>
      <c r="B15" s="9"/>
      <c r="C15" s="7"/>
      <c r="D15" s="7"/>
      <c r="E15" s="10"/>
      <c r="F15" s="7"/>
      <c r="G15" s="7"/>
      <c r="H15" s="7">
        <f t="shared" si="1"/>
        <v>0</v>
      </c>
      <c r="I15" s="7"/>
    </row>
    <row r="16" spans="1:9" x14ac:dyDescent="0.25">
      <c r="A16" s="17" t="s">
        <v>63</v>
      </c>
      <c r="B16" s="9" t="s">
        <v>20</v>
      </c>
      <c r="C16" s="8"/>
      <c r="D16" s="7" t="s">
        <v>21</v>
      </c>
      <c r="E16" s="12"/>
      <c r="F16" s="9">
        <v>2</v>
      </c>
      <c r="G16" s="9"/>
      <c r="H16" s="7">
        <f t="shared" si="1"/>
        <v>0</v>
      </c>
      <c r="I16" s="7"/>
    </row>
    <row r="17" spans="1:9" x14ac:dyDescent="0.25">
      <c r="A17" s="17" t="s">
        <v>44</v>
      </c>
      <c r="B17" s="9" t="s">
        <v>66</v>
      </c>
      <c r="C17" s="7"/>
      <c r="D17" s="7" t="s">
        <v>22</v>
      </c>
      <c r="E17" s="16" t="s">
        <v>65</v>
      </c>
      <c r="F17" s="7"/>
      <c r="G17" s="7"/>
      <c r="H17" s="7">
        <f t="shared" si="1"/>
        <v>0</v>
      </c>
      <c r="I17" s="7" t="s">
        <v>67</v>
      </c>
    </row>
    <row r="18" spans="1:9" x14ac:dyDescent="0.25">
      <c r="A18" s="17" t="s">
        <v>44</v>
      </c>
      <c r="B18" s="9" t="s">
        <v>23</v>
      </c>
      <c r="C18" s="7"/>
      <c r="D18" s="7" t="s">
        <v>24</v>
      </c>
      <c r="E18" s="7"/>
      <c r="F18" s="7">
        <v>7</v>
      </c>
      <c r="G18" s="7"/>
      <c r="H18" s="7">
        <f t="shared" si="1"/>
        <v>0</v>
      </c>
      <c r="I18" s="7"/>
    </row>
    <row r="19" spans="1:9" x14ac:dyDescent="0.25">
      <c r="A19" s="17" t="s">
        <v>44</v>
      </c>
      <c r="B19" s="9" t="s">
        <v>25</v>
      </c>
      <c r="C19" s="7"/>
      <c r="D19" s="7" t="s">
        <v>26</v>
      </c>
      <c r="E19" s="13" t="s">
        <v>27</v>
      </c>
      <c r="F19" s="7">
        <v>1</v>
      </c>
      <c r="G19" s="7"/>
      <c r="H19" s="7">
        <f t="shared" si="1"/>
        <v>0</v>
      </c>
      <c r="I19" s="7"/>
    </row>
    <row r="20" spans="1:9" x14ac:dyDescent="0.25">
      <c r="A20" s="17" t="s">
        <v>44</v>
      </c>
      <c r="B20" s="9" t="s">
        <v>28</v>
      </c>
      <c r="C20" s="7"/>
      <c r="D20" s="7" t="s">
        <v>29</v>
      </c>
      <c r="E20" s="7"/>
      <c r="F20" s="7">
        <v>1</v>
      </c>
      <c r="G20" s="7"/>
      <c r="H20" s="7">
        <f t="shared" si="1"/>
        <v>0</v>
      </c>
      <c r="I20" s="7"/>
    </row>
    <row r="21" spans="1:9" x14ac:dyDescent="0.25">
      <c r="A21" s="17" t="s">
        <v>44</v>
      </c>
      <c r="B21" s="9" t="s">
        <v>30</v>
      </c>
      <c r="C21" s="7"/>
      <c r="D21" s="7" t="s">
        <v>31</v>
      </c>
      <c r="E21" s="7"/>
      <c r="F21" s="7">
        <v>1</v>
      </c>
      <c r="G21" s="7"/>
      <c r="H21" s="7">
        <f t="shared" si="1"/>
        <v>0</v>
      </c>
      <c r="I21" s="7"/>
    </row>
    <row r="22" spans="1:9" x14ac:dyDescent="0.25">
      <c r="A22" s="17" t="s">
        <v>44</v>
      </c>
      <c r="B22" s="9" t="s">
        <v>59</v>
      </c>
      <c r="C22" s="7"/>
      <c r="D22" s="7" t="s">
        <v>45</v>
      </c>
      <c r="E22" s="14" t="s">
        <v>62</v>
      </c>
      <c r="F22" s="7">
        <v>40</v>
      </c>
      <c r="G22" s="7">
        <v>1.7786</v>
      </c>
      <c r="H22" s="7">
        <f t="shared" si="1"/>
        <v>71.144000000000005</v>
      </c>
      <c r="I22" s="7" t="s">
        <v>43</v>
      </c>
    </row>
    <row r="23" spans="1:9" x14ac:dyDescent="0.25">
      <c r="A23" s="17" t="s">
        <v>44</v>
      </c>
      <c r="B23" s="9" t="s">
        <v>33</v>
      </c>
      <c r="C23" s="7"/>
      <c r="D23" s="7" t="s">
        <v>40</v>
      </c>
      <c r="E23" s="7"/>
      <c r="F23" s="7">
        <v>1</v>
      </c>
      <c r="G23" s="7">
        <v>15</v>
      </c>
      <c r="H23" s="7">
        <f t="shared" si="1"/>
        <v>15</v>
      </c>
      <c r="I23" s="7"/>
    </row>
    <row r="24" spans="1:9" x14ac:dyDescent="0.25">
      <c r="A24" s="17"/>
      <c r="B24" s="9"/>
      <c r="C24" s="7"/>
      <c r="D24" s="7"/>
      <c r="E24" s="7"/>
      <c r="F24" s="7"/>
      <c r="G24" s="7"/>
      <c r="H24" s="7">
        <f t="shared" si="1"/>
        <v>0</v>
      </c>
      <c r="I24" s="7"/>
    </row>
    <row r="25" spans="1:9" x14ac:dyDescent="0.25">
      <c r="A25" s="17"/>
      <c r="B25" s="20" t="s">
        <v>76</v>
      </c>
      <c r="C25" s="7"/>
      <c r="D25" s="7"/>
      <c r="E25" s="7"/>
      <c r="F25" s="7"/>
      <c r="G25" s="7"/>
      <c r="H25" s="7"/>
      <c r="I25" s="7"/>
    </row>
    <row r="26" spans="1:9" x14ac:dyDescent="0.25">
      <c r="A26" s="17" t="s">
        <v>44</v>
      </c>
      <c r="B26" s="9" t="s">
        <v>49</v>
      </c>
      <c r="C26" s="7"/>
      <c r="D26" s="7" t="s">
        <v>46</v>
      </c>
      <c r="E26" s="7"/>
      <c r="F26" s="7">
        <v>18</v>
      </c>
      <c r="G26" s="7"/>
      <c r="H26" s="7">
        <f t="shared" si="1"/>
        <v>0</v>
      </c>
      <c r="I26" s="7"/>
    </row>
    <row r="27" spans="1:9" x14ac:dyDescent="0.25">
      <c r="A27" s="17" t="s">
        <v>44</v>
      </c>
      <c r="B27" s="9" t="s">
        <v>48</v>
      </c>
      <c r="C27" s="7"/>
      <c r="D27" s="7" t="s">
        <v>47</v>
      </c>
      <c r="E27" s="7"/>
      <c r="F27" s="7">
        <v>10</v>
      </c>
      <c r="G27" s="7"/>
      <c r="H27" s="7">
        <f t="shared" si="1"/>
        <v>0</v>
      </c>
      <c r="I27" s="7"/>
    </row>
    <row r="28" spans="1:9" ht="17.25" customHeight="1" x14ac:dyDescent="0.25">
      <c r="A28" s="17" t="s">
        <v>44</v>
      </c>
      <c r="B28" s="9" t="s">
        <v>50</v>
      </c>
      <c r="C28" s="7"/>
      <c r="D28" s="10" t="s">
        <v>51</v>
      </c>
      <c r="E28" s="7"/>
      <c r="F28" s="7">
        <v>19</v>
      </c>
      <c r="G28" s="7"/>
      <c r="H28" s="7">
        <f t="shared" si="1"/>
        <v>0</v>
      </c>
      <c r="I28" s="7"/>
    </row>
    <row r="29" spans="1:9" x14ac:dyDescent="0.25">
      <c r="A29" s="17" t="s">
        <v>44</v>
      </c>
      <c r="B29" s="9" t="s">
        <v>52</v>
      </c>
      <c r="C29" s="15"/>
      <c r="D29" s="7" t="s">
        <v>55</v>
      </c>
      <c r="E29" s="9"/>
      <c r="F29" s="7">
        <v>19</v>
      </c>
      <c r="G29" s="7"/>
      <c r="H29" s="7">
        <f t="shared" si="1"/>
        <v>0</v>
      </c>
      <c r="I29" s="7"/>
    </row>
    <row r="30" spans="1:9" x14ac:dyDescent="0.25">
      <c r="A30" s="17" t="s">
        <v>44</v>
      </c>
      <c r="B30" s="9" t="s">
        <v>56</v>
      </c>
      <c r="C30" s="7"/>
      <c r="D30" s="11" t="s">
        <v>54</v>
      </c>
      <c r="E30" s="7"/>
      <c r="F30" s="7">
        <v>1</v>
      </c>
      <c r="G30" s="7"/>
      <c r="H30" s="7">
        <f t="shared" si="1"/>
        <v>0</v>
      </c>
      <c r="I30" s="7"/>
    </row>
    <row r="31" spans="1:9" x14ac:dyDescent="0.25">
      <c r="A31" s="17" t="s">
        <v>44</v>
      </c>
      <c r="B31" s="9" t="s">
        <v>57</v>
      </c>
      <c r="C31" s="7"/>
      <c r="D31" s="7" t="s">
        <v>58</v>
      </c>
      <c r="E31" s="7"/>
      <c r="F31" s="7">
        <v>10</v>
      </c>
      <c r="G31" s="7"/>
      <c r="H31" s="7">
        <f t="shared" si="1"/>
        <v>0</v>
      </c>
      <c r="I31" s="7"/>
    </row>
    <row r="32" spans="1:9" x14ac:dyDescent="0.25">
      <c r="A32" s="17" t="s">
        <v>44</v>
      </c>
      <c r="B32" s="9" t="s">
        <v>61</v>
      </c>
      <c r="C32" s="7"/>
      <c r="D32" s="7" t="s">
        <v>60</v>
      </c>
      <c r="E32" s="7"/>
      <c r="F32" s="7">
        <v>4</v>
      </c>
      <c r="G32" s="7"/>
      <c r="H32" s="7">
        <f t="shared" si="1"/>
        <v>0</v>
      </c>
      <c r="I32" s="7"/>
    </row>
    <row r="33" spans="1:9" x14ac:dyDescent="0.25">
      <c r="A33" s="17" t="s">
        <v>44</v>
      </c>
      <c r="B33" s="9" t="s">
        <v>64</v>
      </c>
      <c r="C33" s="7"/>
      <c r="D33" s="7" t="s">
        <v>81</v>
      </c>
      <c r="E33" s="7"/>
      <c r="F33" s="7">
        <v>9</v>
      </c>
      <c r="G33" s="7"/>
      <c r="H33" s="7">
        <f t="shared" si="1"/>
        <v>0</v>
      </c>
      <c r="I33" s="7"/>
    </row>
    <row r="34" spans="1:9" x14ac:dyDescent="0.25">
      <c r="A34" s="17" t="s">
        <v>44</v>
      </c>
      <c r="B34" s="9" t="s">
        <v>73</v>
      </c>
      <c r="C34" s="7"/>
      <c r="D34" s="7" t="s">
        <v>68</v>
      </c>
      <c r="E34" s="7"/>
      <c r="F34" s="7">
        <v>14</v>
      </c>
      <c r="G34" s="7"/>
      <c r="H34" s="7">
        <f t="shared" si="1"/>
        <v>0</v>
      </c>
      <c r="I34" s="7"/>
    </row>
    <row r="35" spans="1:9" x14ac:dyDescent="0.25">
      <c r="A35" s="17" t="s">
        <v>44</v>
      </c>
      <c r="B35" s="9" t="s">
        <v>57</v>
      </c>
      <c r="C35" s="7"/>
      <c r="D35" s="7" t="s">
        <v>74</v>
      </c>
      <c r="E35" s="7"/>
      <c r="F35" s="7">
        <v>1</v>
      </c>
      <c r="G35" s="7"/>
      <c r="H35" s="7">
        <f t="shared" si="1"/>
        <v>0</v>
      </c>
      <c r="I35" s="7"/>
    </row>
    <row r="36" spans="1:9" x14ac:dyDescent="0.25">
      <c r="A36" s="17"/>
      <c r="B36" s="9"/>
      <c r="C36" s="7"/>
      <c r="D36" s="7"/>
      <c r="E36" s="7"/>
      <c r="F36" s="7"/>
      <c r="G36" s="7"/>
      <c r="H36" s="7">
        <f>F36*G36</f>
        <v>0</v>
      </c>
      <c r="I36" s="7"/>
    </row>
    <row r="37" spans="1:9" x14ac:dyDescent="0.25">
      <c r="A37" s="17" t="s">
        <v>44</v>
      </c>
      <c r="B37" s="21" t="s">
        <v>75</v>
      </c>
      <c r="C37" s="10"/>
      <c r="D37" s="10"/>
      <c r="E37" s="10"/>
      <c r="F37" s="10"/>
      <c r="G37" s="10"/>
      <c r="H37" s="10">
        <f t="shared" si="1"/>
        <v>0</v>
      </c>
      <c r="I37" s="10"/>
    </row>
    <row r="38" spans="1:9" x14ac:dyDescent="0.25">
      <c r="A38" s="17" t="s">
        <v>44</v>
      </c>
      <c r="B38" s="9" t="s">
        <v>77</v>
      </c>
      <c r="C38" s="7"/>
      <c r="D38" s="7" t="s">
        <v>78</v>
      </c>
      <c r="E38" s="10"/>
      <c r="F38" s="7">
        <v>10</v>
      </c>
      <c r="G38" s="7"/>
      <c r="H38" s="7"/>
      <c r="I38" s="7"/>
    </row>
    <row r="39" spans="1:9" x14ac:dyDescent="0.25">
      <c r="A39" s="17" t="s">
        <v>44</v>
      </c>
      <c r="B39" s="9" t="s">
        <v>79</v>
      </c>
      <c r="C39" s="7"/>
      <c r="D39" s="15" t="s">
        <v>85</v>
      </c>
      <c r="E39" s="7"/>
      <c r="F39" s="9">
        <v>28</v>
      </c>
      <c r="G39" s="7"/>
      <c r="H39" s="7"/>
      <c r="I39" s="7"/>
    </row>
    <row r="40" spans="1:9" x14ac:dyDescent="0.25">
      <c r="A40" s="17" t="s">
        <v>44</v>
      </c>
      <c r="B40" s="9" t="s">
        <v>80</v>
      </c>
      <c r="C40" s="7"/>
      <c r="D40" s="7" t="s">
        <v>82</v>
      </c>
      <c r="E40" s="11"/>
      <c r="F40" s="7">
        <v>6</v>
      </c>
      <c r="G40" s="7"/>
      <c r="H40" s="7"/>
      <c r="I40" s="7"/>
    </row>
    <row r="41" spans="1:9" x14ac:dyDescent="0.25">
      <c r="A41" s="17" t="s">
        <v>44</v>
      </c>
      <c r="B41" s="9" t="s">
        <v>83</v>
      </c>
      <c r="C41" s="7"/>
      <c r="D41" s="7" t="s">
        <v>84</v>
      </c>
      <c r="E41" s="7"/>
      <c r="F41" s="7">
        <v>36</v>
      </c>
      <c r="G41" s="7"/>
      <c r="H41" s="7"/>
      <c r="I41" s="7"/>
    </row>
    <row r="42" spans="1:9" x14ac:dyDescent="0.25">
      <c r="A42" s="17"/>
      <c r="B42" s="22"/>
      <c r="C42" s="7"/>
      <c r="D42" s="7"/>
      <c r="E42" s="7"/>
      <c r="F42" s="10"/>
      <c r="G42" s="7"/>
      <c r="H42" s="7"/>
      <c r="I42" s="7"/>
    </row>
    <row r="43" spans="1:9" x14ac:dyDescent="0.25">
      <c r="A43" s="17" t="s">
        <v>86</v>
      </c>
      <c r="B43" s="23" t="s">
        <v>8</v>
      </c>
      <c r="C43" s="9"/>
      <c r="D43" s="7"/>
      <c r="E43" s="15"/>
      <c r="F43" s="17">
        <v>1</v>
      </c>
      <c r="G43" s="9"/>
      <c r="H43" s="7"/>
      <c r="I43" s="7"/>
    </row>
    <row r="44" spans="1:9" x14ac:dyDescent="0.25">
      <c r="A44" s="17" t="s">
        <v>86</v>
      </c>
      <c r="B44" s="23" t="s">
        <v>8</v>
      </c>
      <c r="C44" s="9"/>
      <c r="D44" s="7"/>
      <c r="E44" s="15"/>
      <c r="F44" s="17">
        <v>1</v>
      </c>
      <c r="G44" s="9"/>
      <c r="H44" s="7"/>
      <c r="I44" s="7"/>
    </row>
    <row r="45" spans="1:9" x14ac:dyDescent="0.25">
      <c r="A45" s="17" t="s">
        <v>86</v>
      </c>
      <c r="B45" s="23" t="s">
        <v>9</v>
      </c>
      <c r="C45" s="9"/>
      <c r="D45" s="7"/>
      <c r="E45" s="15"/>
      <c r="F45" s="17">
        <v>1</v>
      </c>
      <c r="G45" s="9"/>
      <c r="H45" s="7"/>
      <c r="I45" s="7"/>
    </row>
    <row r="46" spans="1:9" x14ac:dyDescent="0.25">
      <c r="A46" s="17" t="s">
        <v>86</v>
      </c>
      <c r="B46" s="23" t="s">
        <v>12</v>
      </c>
      <c r="C46" s="9"/>
      <c r="D46" s="7"/>
      <c r="E46" s="15"/>
      <c r="F46" s="17">
        <v>1</v>
      </c>
      <c r="G46" s="9"/>
      <c r="H46" s="7"/>
      <c r="I46" s="7"/>
    </row>
    <row r="47" spans="1:9" x14ac:dyDescent="0.25">
      <c r="A47" s="17" t="s">
        <v>86</v>
      </c>
      <c r="B47" s="23" t="s">
        <v>13</v>
      </c>
      <c r="C47" s="9"/>
      <c r="D47" s="7"/>
      <c r="E47" s="15"/>
      <c r="F47" s="17">
        <v>1</v>
      </c>
      <c r="G47" s="9"/>
      <c r="H47" s="7"/>
      <c r="I47" s="7"/>
    </row>
    <row r="48" spans="1:9" x14ac:dyDescent="0.25">
      <c r="A48" s="17" t="s">
        <v>86</v>
      </c>
      <c r="B48" s="23" t="s">
        <v>14</v>
      </c>
      <c r="C48" s="9"/>
      <c r="D48" s="7"/>
      <c r="E48" s="15"/>
      <c r="F48" s="17">
        <v>1</v>
      </c>
      <c r="G48" s="9"/>
      <c r="H48" s="7"/>
      <c r="I48" s="7"/>
    </row>
    <row r="49" spans="1:9" x14ac:dyDescent="0.25">
      <c r="A49" s="17" t="s">
        <v>86</v>
      </c>
      <c r="B49" s="23" t="s">
        <v>17</v>
      </c>
      <c r="C49" s="9"/>
      <c r="D49" s="7"/>
      <c r="E49" s="15"/>
      <c r="F49" s="17">
        <v>1</v>
      </c>
      <c r="G49" s="9"/>
      <c r="H49" s="7"/>
      <c r="I49" s="7"/>
    </row>
    <row r="50" spans="1:9" x14ac:dyDescent="0.25">
      <c r="A50" s="17" t="s">
        <v>86</v>
      </c>
      <c r="B50" s="23" t="s">
        <v>18</v>
      </c>
      <c r="C50" s="9"/>
      <c r="D50" s="7"/>
      <c r="E50" s="15"/>
      <c r="F50" s="17">
        <v>1</v>
      </c>
      <c r="G50" s="9"/>
      <c r="H50" s="7"/>
      <c r="I50" s="7"/>
    </row>
    <row r="51" spans="1:9" x14ac:dyDescent="0.25">
      <c r="A51" s="17" t="s">
        <v>86</v>
      </c>
      <c r="B51" t="s">
        <v>19</v>
      </c>
      <c r="C51" s="7"/>
      <c r="D51" s="7"/>
      <c r="E51" s="7"/>
      <c r="F51" s="11">
        <v>7</v>
      </c>
      <c r="G51" s="7"/>
      <c r="H51" s="7"/>
      <c r="I51" s="7"/>
    </row>
    <row r="52" spans="1:9" x14ac:dyDescent="0.25">
      <c r="A52" s="17" t="s">
        <v>86</v>
      </c>
      <c r="B52" s="22" t="s">
        <v>32</v>
      </c>
      <c r="C52" s="10"/>
      <c r="D52" s="10"/>
      <c r="E52" s="10"/>
      <c r="F52" s="10">
        <v>1</v>
      </c>
      <c r="G52" s="10"/>
      <c r="H52" s="10"/>
      <c r="I52" s="10"/>
    </row>
    <row r="53" spans="1:9" x14ac:dyDescent="0.25">
      <c r="A53" s="17" t="s">
        <v>86</v>
      </c>
      <c r="B53" s="23" t="s">
        <v>34</v>
      </c>
      <c r="C53" s="17"/>
      <c r="D53" s="17"/>
      <c r="E53" s="17"/>
      <c r="F53" s="17">
        <v>4</v>
      </c>
      <c r="G53" s="17"/>
      <c r="H53" s="17"/>
      <c r="I53" s="17"/>
    </row>
    <row r="54" spans="1:9" x14ac:dyDescent="0.25">
      <c r="A54" s="17" t="s">
        <v>86</v>
      </c>
      <c r="B54" s="23" t="s">
        <v>35</v>
      </c>
      <c r="C54" s="17"/>
      <c r="D54" s="17"/>
      <c r="E54" s="17"/>
      <c r="F54" s="17">
        <v>1</v>
      </c>
      <c r="G54" s="17"/>
      <c r="H54" s="17"/>
      <c r="I54" s="17"/>
    </row>
    <row r="55" spans="1:9" x14ac:dyDescent="0.25">
      <c r="A55" s="17" t="s">
        <v>86</v>
      </c>
      <c r="B55" s="23" t="s">
        <v>36</v>
      </c>
      <c r="C55" s="17"/>
      <c r="D55" s="17"/>
      <c r="E55" s="17"/>
      <c r="F55" s="17">
        <v>1</v>
      </c>
      <c r="G55" s="17"/>
      <c r="H55" s="17"/>
      <c r="I55" s="17"/>
    </row>
    <row r="56" spans="1:9" x14ac:dyDescent="0.25">
      <c r="A56" s="17" t="s">
        <v>86</v>
      </c>
      <c r="B56" s="23" t="s">
        <v>37</v>
      </c>
      <c r="C56" s="17"/>
      <c r="D56" s="17"/>
      <c r="E56" s="17"/>
      <c r="F56" s="17">
        <v>1</v>
      </c>
      <c r="G56" s="17"/>
      <c r="H56" s="17"/>
      <c r="I56" s="17"/>
    </row>
    <row r="57" spans="1:9" x14ac:dyDescent="0.25">
      <c r="A57" s="17" t="s">
        <v>86</v>
      </c>
      <c r="B57" s="23" t="s">
        <v>38</v>
      </c>
      <c r="C57" s="17"/>
      <c r="D57" s="17"/>
      <c r="E57" s="17"/>
      <c r="F57" s="17">
        <v>1</v>
      </c>
      <c r="G57" s="17"/>
      <c r="H57" s="17"/>
      <c r="I57" s="17"/>
    </row>
    <row r="58" spans="1:9" x14ac:dyDescent="0.25">
      <c r="A58" s="17" t="s">
        <v>86</v>
      </c>
      <c r="B58" s="23" t="s">
        <v>39</v>
      </c>
      <c r="C58" s="17"/>
      <c r="D58" s="17"/>
      <c r="E58" s="17"/>
      <c r="F58" s="17">
        <v>1</v>
      </c>
      <c r="G58" s="17"/>
      <c r="H58" s="17"/>
      <c r="I58" s="17"/>
    </row>
    <row r="59" spans="1:9" x14ac:dyDescent="0.25">
      <c r="A59" s="17" t="s">
        <v>86</v>
      </c>
      <c r="B59" s="23" t="s">
        <v>87</v>
      </c>
      <c r="C59" s="17"/>
      <c r="D59" s="17"/>
      <c r="E59" s="17"/>
      <c r="F59" s="17">
        <v>4</v>
      </c>
      <c r="G59" s="17"/>
      <c r="H59" s="17"/>
      <c r="I59" s="17"/>
    </row>
    <row r="60" spans="1:9" x14ac:dyDescent="0.25">
      <c r="A60" s="17" t="s">
        <v>86</v>
      </c>
      <c r="B60" s="23" t="s">
        <v>88</v>
      </c>
      <c r="C60" s="17"/>
      <c r="D60" s="17"/>
      <c r="E60" s="17"/>
      <c r="F60" s="17">
        <v>5</v>
      </c>
      <c r="G60" s="17"/>
      <c r="H60" s="17"/>
      <c r="I60" s="17"/>
    </row>
    <row r="61" spans="1:9" x14ac:dyDescent="0.25">
      <c r="A61" s="17" t="s">
        <v>86</v>
      </c>
      <c r="B61" s="23" t="s">
        <v>89</v>
      </c>
      <c r="C61" s="17"/>
      <c r="D61" s="17"/>
      <c r="E61" s="17"/>
      <c r="F61" s="17">
        <v>5</v>
      </c>
      <c r="G61" s="17"/>
      <c r="H61" s="17"/>
      <c r="I61" s="17"/>
    </row>
    <row r="62" spans="1:9" x14ac:dyDescent="0.25">
      <c r="A62" s="17" t="s">
        <v>86</v>
      </c>
      <c r="B62" s="23" t="s">
        <v>90</v>
      </c>
      <c r="C62" s="17"/>
      <c r="D62" s="17"/>
      <c r="E62" s="17"/>
      <c r="F62" s="17">
        <v>5</v>
      </c>
      <c r="G62" s="17"/>
      <c r="H62" s="17"/>
      <c r="I62" s="17"/>
    </row>
    <row r="63" spans="1:9" x14ac:dyDescent="0.25">
      <c r="A63" s="17" t="s">
        <v>86</v>
      </c>
      <c r="B63" s="23" t="s">
        <v>91</v>
      </c>
      <c r="C63" s="17"/>
      <c r="D63" s="17"/>
      <c r="E63" s="17"/>
      <c r="F63" s="17">
        <v>5</v>
      </c>
      <c r="G63" s="17"/>
      <c r="H63" s="17"/>
      <c r="I63" s="17"/>
    </row>
  </sheetData>
  <hyperlinks>
    <hyperlink ref="E19" r:id="rId1" xr:uid="{B380549F-7E26-4DB2-92C4-1F1F070804FE}"/>
    <hyperlink ref="E9" r:id="rId2" xr:uid="{01B0726A-0CD5-4F42-BFC2-6AB90135C831}"/>
    <hyperlink ref="E12" r:id="rId3" xr:uid="{15A00D3C-840E-43FE-833B-461A7A5B5ABB}"/>
    <hyperlink ref="E22" r:id="rId4" xr:uid="{CA2C9718-E456-4FAE-9C87-BEB0C1393E1F}"/>
    <hyperlink ref="E17" r:id="rId5" xr:uid="{0E6D44D9-A290-4B6D-9161-DCDA4778D527}"/>
  </hyperlinks>
  <pageMargins left="0.7" right="0.7" top="0.75" bottom="0.75" header="0.3" footer="0.3"/>
  <pageSetup paperSize="9" orientation="portrait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D3F4-F333-405B-8BA9-1BDBD95D0F2E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91f397-e3d7-4b5d-a332-5a2eb55d5fee">
      <Terms xmlns="http://schemas.microsoft.com/office/infopath/2007/PartnerControls"/>
    </lcf76f155ced4ddcb4097134ff3c332f>
    <TaxCatchAll xmlns="f24e287f-358d-4b3f-8613-17df8f94ff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3C74E521F71544E93C06EF354C2CBCC" ma:contentTypeVersion="11" ma:contentTypeDescription="Opret et nyt dokument." ma:contentTypeScope="" ma:versionID="95693618a3ac449357502dc78694f4ff">
  <xsd:schema xmlns:xsd="http://www.w3.org/2001/XMLSchema" xmlns:xs="http://www.w3.org/2001/XMLSchema" xmlns:p="http://schemas.microsoft.com/office/2006/metadata/properties" xmlns:ns2="6891f397-e3d7-4b5d-a332-5a2eb55d5fee" xmlns:ns3="f24e287f-358d-4b3f-8613-17df8f94ff49" targetNamespace="http://schemas.microsoft.com/office/2006/metadata/properties" ma:root="true" ma:fieldsID="ef56c005d3ba13483e294aa394240a0c" ns2:_="" ns3:_="">
    <xsd:import namespace="6891f397-e3d7-4b5d-a332-5a2eb55d5fee"/>
    <xsd:import namespace="f24e287f-358d-4b3f-8613-17df8f94f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1f397-e3d7-4b5d-a332-5a2eb55d5f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ledmærker" ma:readOnly="false" ma:fieldId="{5cf76f15-5ced-4ddc-b409-7134ff3c332f}" ma:taxonomyMulti="true" ma:sspId="5d73657e-90f0-444e-a899-7df328d363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e287f-358d-4b3f-8613-17df8f94ff4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dc0b7e6-993f-4229-9d24-61ad6decddf2}" ma:internalName="TaxCatchAll" ma:showField="CatchAllData" ma:web="f24e287f-358d-4b3f-8613-17df8f94f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F73702-C5FD-42EA-8975-481C0D73C126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6891f397-e3d7-4b5d-a332-5a2eb55d5fee"/>
    <ds:schemaRef ds:uri="http://schemas.openxmlformats.org/package/2006/metadata/core-properties"/>
    <ds:schemaRef ds:uri="http://purl.org/dc/dcmitype/"/>
    <ds:schemaRef ds:uri="f24e287f-358d-4b3f-8613-17df8f94ff49"/>
    <ds:schemaRef ds:uri="http://www.w3.org/XML/1998/namespace"/>
    <ds:schemaRef ds:uri="http://purl.org/dc/elements/1.1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A6A362F-EDA4-42E5-9EA2-96796A92E5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91f397-e3d7-4b5d-a332-5a2eb55d5fee"/>
    <ds:schemaRef ds:uri="f24e287f-358d-4b3f-8613-17df8f94f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3F6F8-EAA7-43E7-9E1E-44CCB360049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Sheet1</vt:lpstr>
      <vt:lpstr>Ark1</vt:lpstr>
    </vt:vector>
  </TitlesOfParts>
  <Manager/>
  <Company>Palabora Copper (PTY)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Maribe, Jonathan (Palabora)</dc:creator>
  <cp:keywords/>
  <dc:description/>
  <cp:lastModifiedBy>Emil Faldt Jakobsen</cp:lastModifiedBy>
  <cp:revision/>
  <dcterms:created xsi:type="dcterms:W3CDTF">2016-06-15T05:41:46Z</dcterms:created>
  <dcterms:modified xsi:type="dcterms:W3CDTF">2026-06-16T09:05:54Z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0x01010033C74E521F71544E93C06EF354C2CBCC</vt:lpwstr>
  </property>
  <property fmtid="{D5CDD505-2E9C-101B-9397-08002B2CF9AE}" pid="3" name="MediaServiceImageTags">
    <vt:lpwstr/>
  </property>
</Properties>
</file>